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<sst xmlns="http://schemas.openxmlformats.org/spreadsheetml/2006/main" count="135" uniqueCount="61">
  <si>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utm_source</t>
  </si>
  <si>
    <t>session_count</t>
  </si>
  <si>
    <t>G-search</t>
  </si>
  <si>
    <t>Organic</t>
  </si>
  <si>
    <t>B-search</t>
  </si>
  <si>
    <t>Socialbook</t>
  </si>
  <si>
    <t>device_type</t>
  </si>
  <si>
    <t>Desktop</t>
  </si>
  <si>
    <t>Mobile</t>
  </si>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</sst>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lt;1000]0;[&lt;1000000]0.0,&quot;K&quot;;0.0,,&quot;M&quot;"/>
    <numFmt numFmtId="165" formatCode="yyyy-mm"/>
    <numFmt numFmtId="166" formatCode="yyyy-m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7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1987224513"/>
        <c:axId val="858825865"/>
      </c:lineChart>
      <c:catAx>
        <c:axId val="1987224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858825865"/>
      </c:catAx>
      <c:valAx>
        <c:axId val="858825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987224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noFill/>
            </a:ln>
          </c:spPr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1613583105"/>
        <c:axId val="1638756096"/>
      </c:barChart>
      <c:catAx>
        <c:axId val="16135831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638756096"/>
      </c:catAx>
      <c:valAx>
        <c:axId val="163875609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135831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680413161"/>
        <c:axId val="601143130"/>
      </c:barChart>
      <c:catAx>
        <c:axId val="680413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601143130"/>
      </c:catAx>
      <c:valAx>
        <c:axId val="601143130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804131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1443706972"/>
        <c:axId val="2111899481"/>
      </c:barChart>
      <c:catAx>
        <c:axId val="14437069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111899481"/>
      </c:catAx>
      <c:valAx>
        <c:axId val="211189948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43706972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1898285641"/>
        <c:axId val="1699352768"/>
      </c:barChart>
      <c:catAx>
        <c:axId val="18982856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699352768"/>
      </c:catAx>
      <c:valAx>
        <c:axId val="169935276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98285641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1059011861"/>
        <c:axId val="112673691"/>
      </c:lineChart>
      <c:catAx>
        <c:axId val="1059011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12673691"/>
      </c:catAx>
      <c:valAx>
        <c:axId val="112673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059011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1641471977"/>
        <c:axId val="1805756014"/>
      </c:lineChart>
      <c:catAx>
        <c:axId val="1641471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805756014"/>
      </c:catAx>
      <c:valAx>
        <c:axId val="1805756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6414719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5</xdr:row>
      <xdr:rowOff>38100</xdr:rowOff>
    </xdr:from>
    <xdr:ext cx="7200900" cy="53340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0" name="Chart 10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</row>
    <row r="3">
      <c r="A3" s="3">
        <v>40969.0</v>
      </c>
      <c r="B3" s="1">
        <v>2999.4</v>
      </c>
    </row>
    <row r="4">
      <c r="A4" s="3">
        <v>41000.0</v>
      </c>
      <c r="B4" s="1">
        <v>4949.01</v>
      </c>
    </row>
    <row r="5">
      <c r="A5" s="3">
        <v>41030.0</v>
      </c>
      <c r="B5" s="1">
        <v>5398.92</v>
      </c>
    </row>
    <row r="6">
      <c r="A6" s="3">
        <v>41061.0</v>
      </c>
      <c r="B6" s="1">
        <v>6998.6</v>
      </c>
    </row>
    <row r="7">
      <c r="A7" s="3">
        <v>41091.0</v>
      </c>
      <c r="B7" s="1">
        <v>8448.31</v>
      </c>
    </row>
    <row r="8">
      <c r="A8" s="3">
        <v>41122.0</v>
      </c>
      <c r="B8" s="1">
        <v>11397.72</v>
      </c>
    </row>
    <row r="9">
      <c r="A9" s="3">
        <v>41153.0</v>
      </c>
      <c r="B9" s="1">
        <v>14347.13</v>
      </c>
    </row>
    <row r="10">
      <c r="A10" s="4">
        <v>41183.0</v>
      </c>
      <c r="B10" s="1">
        <v>18546.29</v>
      </c>
    </row>
    <row r="11">
      <c r="A11" s="4">
        <v>41214.0</v>
      </c>
      <c r="B11" s="1">
        <v>30893.82</v>
      </c>
    </row>
    <row r="12">
      <c r="A12" s="4">
        <v>41244.0</v>
      </c>
      <c r="B12" s="1">
        <v>25294.94</v>
      </c>
    </row>
    <row r="13">
      <c r="A13" s="3">
        <v>41275.0</v>
      </c>
      <c r="B13" s="1">
        <v>17146.57</v>
      </c>
      <c r="C13" s="1">
        <v>2819.53</v>
      </c>
    </row>
    <row r="14">
      <c r="A14" s="3">
        <v>41306.0</v>
      </c>
      <c r="B14" s="1">
        <v>16796.64</v>
      </c>
      <c r="C14" s="1">
        <v>9718.38</v>
      </c>
    </row>
    <row r="15">
      <c r="A15" s="3">
        <v>41334.0</v>
      </c>
      <c r="B15" s="1">
        <v>15996.8</v>
      </c>
      <c r="C15" s="1">
        <v>3899.35</v>
      </c>
    </row>
    <row r="16">
      <c r="A16" s="3">
        <v>41365.0</v>
      </c>
      <c r="B16" s="1">
        <v>22945.41</v>
      </c>
      <c r="C16" s="1">
        <v>5639.06</v>
      </c>
    </row>
    <row r="17">
      <c r="A17" s="3">
        <v>41395.0</v>
      </c>
      <c r="B17" s="1">
        <v>24445.11</v>
      </c>
      <c r="C17" s="1">
        <v>4919.18</v>
      </c>
    </row>
    <row r="18">
      <c r="A18" s="3">
        <v>41426.0</v>
      </c>
      <c r="B18" s="1">
        <v>25144.97</v>
      </c>
      <c r="C18" s="1">
        <v>5399.1</v>
      </c>
    </row>
    <row r="19">
      <c r="A19" s="3">
        <v>41456.0</v>
      </c>
      <c r="B19" s="1">
        <v>25444.91</v>
      </c>
      <c r="C19" s="1">
        <v>5699.05</v>
      </c>
    </row>
    <row r="20">
      <c r="A20" s="3">
        <v>41487.0</v>
      </c>
      <c r="B20" s="1">
        <v>25494.9</v>
      </c>
      <c r="C20" s="1">
        <v>5879.02</v>
      </c>
    </row>
    <row r="21">
      <c r="A21" s="3">
        <v>41518.0</v>
      </c>
      <c r="B21" s="1">
        <v>26844.63</v>
      </c>
      <c r="C21" s="1">
        <v>5879.02</v>
      </c>
    </row>
    <row r="22">
      <c r="A22" s="4">
        <v>41548.0</v>
      </c>
      <c r="B22" s="1">
        <v>30143.97</v>
      </c>
      <c r="C22" s="1">
        <v>8098.65</v>
      </c>
    </row>
    <row r="23">
      <c r="A23" s="4">
        <v>41579.0</v>
      </c>
      <c r="B23" s="1">
        <v>36192.76</v>
      </c>
      <c r="C23" s="1">
        <v>10438.26</v>
      </c>
    </row>
    <row r="24">
      <c r="A24" s="4">
        <v>41609.0</v>
      </c>
      <c r="B24" s="1">
        <v>40891.82</v>
      </c>
      <c r="C24" s="1">
        <v>10978.17</v>
      </c>
      <c r="D24" s="1">
        <v>6392.61</v>
      </c>
    </row>
    <row r="25">
      <c r="A25" s="3">
        <v>41640.0</v>
      </c>
      <c r="B25" s="1">
        <v>36392.72</v>
      </c>
      <c r="C25" s="1">
        <v>10978.17</v>
      </c>
      <c r="D25" s="1">
        <v>9198.0</v>
      </c>
    </row>
    <row r="26">
      <c r="A26" s="3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3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3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3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3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3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3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3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4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4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4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3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3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3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5" t="s">
        <v>9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/>
    </row>
    <row r="2">
      <c r="A2" s="1" t="s">
        <v>14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6">
        <f t="shared" ref="G2:G5" si="2">F2/C2</f>
        <v>0.6708071018</v>
      </c>
      <c r="H2" s="7">
        <f t="shared" ref="H2:H5" si="3">D2/C2</f>
        <v>0.01275408529</v>
      </c>
    </row>
    <row r="3">
      <c r="A3" s="1" t="s">
        <v>13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6">
        <f t="shared" si="2"/>
        <v>0.6245503634</v>
      </c>
      <c r="H3" s="7">
        <f t="shared" si="3"/>
        <v>0.06038114343</v>
      </c>
    </row>
    <row r="4">
      <c r="A4" s="1" t="s">
        <v>12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6">
        <f t="shared" si="2"/>
        <v>0.6028474553</v>
      </c>
      <c r="H4" s="7">
        <f t="shared" si="3"/>
        <v>0.02225672878</v>
      </c>
    </row>
    <row r="5">
      <c r="A5" s="1" t="s">
        <v>11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6">
        <f t="shared" si="2"/>
        <v>0.5590611807</v>
      </c>
      <c r="H5" s="7">
        <f t="shared" si="3"/>
        <v>0.05106084372</v>
      </c>
    </row>
    <row r="8">
      <c r="A8" s="8" t="s">
        <v>9</v>
      </c>
      <c r="B8" s="8" t="s">
        <v>16</v>
      </c>
    </row>
    <row r="9">
      <c r="A9" s="9" t="s">
        <v>11</v>
      </c>
      <c r="B9" s="2">
        <v>1211057.74</v>
      </c>
    </row>
    <row r="10">
      <c r="A10" s="9" t="s">
        <v>12</v>
      </c>
      <c r="B10" s="2">
        <v>347702.04</v>
      </c>
    </row>
    <row r="11">
      <c r="A11" s="9" t="s">
        <v>13</v>
      </c>
      <c r="B11" s="2">
        <v>229260.15</v>
      </c>
    </row>
    <row r="12">
      <c r="A12" s="9" t="s">
        <v>14</v>
      </c>
      <c r="B12" s="2">
        <v>150489.82</v>
      </c>
    </row>
    <row r="22">
      <c r="M22" s="8"/>
      <c r="N22" s="8"/>
    </row>
    <row r="23">
      <c r="M23" s="8"/>
      <c r="N23" s="8"/>
    </row>
    <row r="24">
      <c r="M24" s="8"/>
      <c r="N24" s="8"/>
    </row>
    <row r="32">
      <c r="A32" s="9" t="s">
        <v>9</v>
      </c>
      <c r="B32" s="9" t="s">
        <v>20</v>
      </c>
    </row>
    <row r="33">
      <c r="A33" s="9" t="s">
        <v>14</v>
      </c>
      <c r="B33" s="6">
        <v>0.6708071017694088</v>
      </c>
    </row>
    <row r="34">
      <c r="A34" s="9" t="s">
        <v>13</v>
      </c>
      <c r="B34" s="6">
        <v>0.6245503634190243</v>
      </c>
    </row>
    <row r="35">
      <c r="A35" s="9" t="s">
        <v>12</v>
      </c>
      <c r="B35" s="6">
        <v>0.6028474552522038</v>
      </c>
    </row>
    <row r="36">
      <c r="A36" s="9" t="s">
        <v>11</v>
      </c>
      <c r="B36" s="6">
        <v>0.5590611806832597</v>
      </c>
    </row>
    <row r="44">
      <c r="A44" s="1" t="s">
        <v>6</v>
      </c>
      <c r="B44" s="1" t="s">
        <v>4</v>
      </c>
      <c r="C44" s="1" t="s">
        <v>2</v>
      </c>
      <c r="D44" s="1" t="s">
        <v>3</v>
      </c>
      <c r="E44" s="1" t="s">
        <v>5</v>
      </c>
    </row>
    <row r="45">
      <c r="A45" s="1" t="s">
        <v>7</v>
      </c>
      <c r="B45" s="7">
        <v>0.07852641</v>
      </c>
      <c r="C45" s="7">
        <v>0.08432793999999999</v>
      </c>
      <c r="D45" s="7">
        <v>0.09892198</v>
      </c>
      <c r="E45" s="7">
        <v>0.04990183</v>
      </c>
    </row>
    <row r="46">
      <c r="A46" s="1" t="s">
        <v>8</v>
      </c>
      <c r="B46" s="7">
        <v>0.030136669999999997</v>
      </c>
      <c r="C46" s="7">
        <v>0.03165673</v>
      </c>
      <c r="D46" s="7">
        <v>0.03199798</v>
      </c>
      <c r="E46" s="7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</row>
    <row r="2">
      <c r="B2" s="1" t="s">
        <v>2</v>
      </c>
      <c r="C2" s="2">
        <v>316035.0</v>
      </c>
    </row>
    <row r="3">
      <c r="B3" s="1" t="s">
        <v>3</v>
      </c>
      <c r="C3" s="2">
        <v>83328.0</v>
      </c>
    </row>
    <row r="4">
      <c r="B4" s="1" t="s">
        <v>4</v>
      </c>
      <c r="C4" s="2">
        <v>62823.0</v>
      </c>
    </row>
    <row r="5">
      <c r="B5" s="1" t="s">
        <v>5</v>
      </c>
      <c r="C5" s="2">
        <v>10685.0</v>
      </c>
    </row>
    <row r="6">
      <c r="C6" s="2"/>
    </row>
    <row r="7">
      <c r="C7" s="2"/>
    </row>
    <row r="8">
      <c r="B8" s="1" t="s">
        <v>6</v>
      </c>
      <c r="C8" s="2" t="s">
        <v>1</v>
      </c>
    </row>
    <row r="9">
      <c r="B9" s="1" t="s">
        <v>7</v>
      </c>
      <c r="C9" s="2">
        <v>327027.0</v>
      </c>
    </row>
    <row r="10">
      <c r="B10" s="1" t="s">
        <v>8</v>
      </c>
      <c r="C10" s="2">
        <v>145844.0</v>
      </c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  <c r="E18" s="2">
        <v>229260.15</v>
      </c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6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>
      <c r="A2" s="1">
        <v>0.0</v>
      </c>
      <c r="B2" s="1" t="s">
        <v>41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42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43</v>
      </c>
      <c r="B8" s="1" t="s">
        <v>44</v>
      </c>
    </row>
    <row r="9">
      <c r="A9" s="1" t="s">
        <v>7</v>
      </c>
      <c r="B9" s="2">
        <v>327027.0</v>
      </c>
    </row>
    <row r="10">
      <c r="A10" s="1" t="s">
        <v>8</v>
      </c>
      <c r="B10" s="2">
        <v>145844.0</v>
      </c>
    </row>
    <row r="16">
      <c r="A16" s="2"/>
    </row>
    <row r="36">
      <c r="A36" s="11" t="s">
        <v>6</v>
      </c>
      <c r="B36" s="11" t="s">
        <v>41</v>
      </c>
      <c r="C36" s="11" t="s">
        <v>45</v>
      </c>
      <c r="D36" s="11" t="s">
        <v>46</v>
      </c>
      <c r="E36" s="11" t="s">
        <v>47</v>
      </c>
      <c r="F36" s="1" t="s">
        <v>48</v>
      </c>
      <c r="G36" s="1" t="s">
        <v>49</v>
      </c>
      <c r="H36" s="1" t="s">
        <v>50</v>
      </c>
    </row>
    <row r="37">
      <c r="A37" s="12" t="s">
        <v>51</v>
      </c>
      <c r="B37" s="11">
        <v>327027.0</v>
      </c>
      <c r="C37" s="11">
        <v>0.0</v>
      </c>
      <c r="D37" s="12">
        <f t="shared" ref="D37:D42" si="1">B37</f>
        <v>327027</v>
      </c>
      <c r="E37" s="11">
        <v>0.0</v>
      </c>
      <c r="F37" s="9">
        <f t="shared" ref="F37:F42" si="2">D37/$D$37</f>
        <v>1</v>
      </c>
      <c r="G37" s="9">
        <f>D37/D37</f>
        <v>1</v>
      </c>
      <c r="H37" s="9" t="str">
        <f t="shared" ref="H37:H42" si="3">TEXT(D37/1000, "0.0") &amp; "k (CR prev = " &amp; TEXT(G37, "0.0%") &amp; ")"</f>
        <v>327.0k (CR prev = 100.0%)</v>
      </c>
    </row>
    <row r="38">
      <c r="A38" s="12" t="s">
        <v>52</v>
      </c>
      <c r="B38" s="11">
        <v>192325.0</v>
      </c>
      <c r="C38" s="12">
        <f t="shared" ref="C38:C42" si="4">($B$37-B38)/2</f>
        <v>67351</v>
      </c>
      <c r="D38" s="12">
        <f t="shared" si="1"/>
        <v>192325</v>
      </c>
      <c r="E38" s="12">
        <f t="shared" ref="E38:E42" si="5">C38</f>
        <v>67351</v>
      </c>
      <c r="F38" s="9">
        <f t="shared" si="2"/>
        <v>0.5881012883</v>
      </c>
      <c r="G38" s="9">
        <f t="shared" ref="G38:G42" si="6">D38/D37</f>
        <v>0.5881012883</v>
      </c>
      <c r="H38" s="9" t="str">
        <f t="shared" si="3"/>
        <v>192.3k (CR prev = 58.8%)</v>
      </c>
    </row>
    <row r="39">
      <c r="A39" s="12" t="s">
        <v>53</v>
      </c>
      <c r="B39" s="11">
        <v>75155.0</v>
      </c>
      <c r="C39" s="12">
        <f t="shared" si="4"/>
        <v>125936</v>
      </c>
      <c r="D39" s="12">
        <f t="shared" si="1"/>
        <v>75155</v>
      </c>
      <c r="E39" s="12">
        <f t="shared" si="5"/>
        <v>125936</v>
      </c>
      <c r="F39" s="9">
        <f t="shared" si="2"/>
        <v>0.2298128289</v>
      </c>
      <c r="G39" s="9">
        <f t="shared" si="6"/>
        <v>0.3907708306</v>
      </c>
      <c r="H39" s="9" t="str">
        <f t="shared" si="3"/>
        <v>75.2k (CR prev = 39.1%)</v>
      </c>
    </row>
    <row r="40">
      <c r="A40" s="12" t="s">
        <v>54</v>
      </c>
      <c r="B40" s="11">
        <v>52692.0</v>
      </c>
      <c r="C40" s="12">
        <f t="shared" si="4"/>
        <v>137167.5</v>
      </c>
      <c r="D40" s="12">
        <f t="shared" si="1"/>
        <v>52692</v>
      </c>
      <c r="E40" s="12">
        <f t="shared" si="5"/>
        <v>137167.5</v>
      </c>
      <c r="F40" s="9">
        <f t="shared" si="2"/>
        <v>0.1611243108</v>
      </c>
      <c r="G40" s="9">
        <f t="shared" si="6"/>
        <v>0.7011110372</v>
      </c>
      <c r="H40" s="9" t="str">
        <f t="shared" si="3"/>
        <v>52.7k (CR prev = 70.1%)</v>
      </c>
    </row>
    <row r="41">
      <c r="A41" s="12" t="s">
        <v>55</v>
      </c>
      <c r="B41" s="11">
        <v>43722.0</v>
      </c>
      <c r="C41" s="12">
        <f t="shared" si="4"/>
        <v>141652.5</v>
      </c>
      <c r="D41" s="12">
        <f t="shared" si="1"/>
        <v>43722</v>
      </c>
      <c r="E41" s="12">
        <f t="shared" si="5"/>
        <v>141652.5</v>
      </c>
      <c r="F41" s="9">
        <f t="shared" si="2"/>
        <v>0.133695383</v>
      </c>
      <c r="G41" s="9">
        <f t="shared" si="6"/>
        <v>0.8297654293</v>
      </c>
      <c r="H41" s="9" t="str">
        <f t="shared" si="3"/>
        <v>43.7k (CR prev = 83.0%)</v>
      </c>
    </row>
    <row r="42">
      <c r="A42" s="11" t="s">
        <v>56</v>
      </c>
      <c r="B42" s="11">
        <v>27805.0</v>
      </c>
      <c r="C42" s="12">
        <f t="shared" si="4"/>
        <v>149611</v>
      </c>
      <c r="D42" s="12">
        <f t="shared" si="1"/>
        <v>27805</v>
      </c>
      <c r="E42" s="12">
        <f t="shared" si="5"/>
        <v>149611</v>
      </c>
      <c r="F42" s="9">
        <f t="shared" si="2"/>
        <v>0.08502356075</v>
      </c>
      <c r="G42" s="9">
        <f t="shared" si="6"/>
        <v>0.6359498651</v>
      </c>
      <c r="H42" s="9" t="str">
        <f t="shared" si="3"/>
        <v>27.8k (CR prev = 63.6%)</v>
      </c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1" t="s">
        <v>6</v>
      </c>
      <c r="B45" s="11" t="s">
        <v>42</v>
      </c>
      <c r="C45" s="11" t="s">
        <v>45</v>
      </c>
      <c r="D45" s="11" t="s">
        <v>46</v>
      </c>
      <c r="E45" s="11" t="s">
        <v>47</v>
      </c>
      <c r="F45" s="1" t="s">
        <v>48</v>
      </c>
      <c r="G45" s="1" t="s">
        <v>49</v>
      </c>
      <c r="H45" s="1" t="s">
        <v>50</v>
      </c>
    </row>
    <row r="46">
      <c r="A46" s="12" t="s">
        <v>51</v>
      </c>
      <c r="B46" s="11">
        <v>145844.0</v>
      </c>
      <c r="C46" s="11">
        <v>0.0</v>
      </c>
      <c r="D46" s="12">
        <f t="shared" ref="D46:D51" si="7">B46</f>
        <v>145844</v>
      </c>
      <c r="E46" s="11">
        <v>0.0</v>
      </c>
      <c r="F46" s="9">
        <f t="shared" ref="F46:F51" si="8">D46/$D$46</f>
        <v>1</v>
      </c>
      <c r="G46" s="9">
        <f>D46/D46</f>
        <v>1</v>
      </c>
      <c r="H46" s="9" t="str">
        <f t="shared" ref="H46:H51" si="9">TEXT(D46/1000, "0.0") &amp; "k (CR prev = " &amp; TEXT(G46, "0.0%") &amp; ")"</f>
        <v>145.8k (CR prev = 100.0%)</v>
      </c>
    </row>
    <row r="47">
      <c r="A47" s="12" t="s">
        <v>52</v>
      </c>
      <c r="B47" s="11">
        <v>68906.0</v>
      </c>
      <c r="C47" s="12">
        <f t="shared" ref="C47:C51" si="10">($B$46-B47)/2</f>
        <v>38469</v>
      </c>
      <c r="D47" s="12">
        <f t="shared" si="7"/>
        <v>68906</v>
      </c>
      <c r="E47" s="12">
        <f t="shared" ref="E47:E51" si="11">C47</f>
        <v>38469</v>
      </c>
      <c r="F47" s="9">
        <f t="shared" si="8"/>
        <v>0.4724637284</v>
      </c>
      <c r="G47" s="9">
        <f t="shared" ref="G47:G51" si="12">D47/D46</f>
        <v>0.4724637284</v>
      </c>
      <c r="H47" s="9" t="str">
        <f t="shared" si="9"/>
        <v>68.9k (CR prev = 47.2%)</v>
      </c>
    </row>
    <row r="48">
      <c r="A48" s="12" t="s">
        <v>53</v>
      </c>
      <c r="B48" s="11">
        <v>19798.0</v>
      </c>
      <c r="C48" s="12">
        <f t="shared" si="10"/>
        <v>63023</v>
      </c>
      <c r="D48" s="12">
        <f t="shared" si="7"/>
        <v>19798</v>
      </c>
      <c r="E48" s="12">
        <f t="shared" si="11"/>
        <v>63023</v>
      </c>
      <c r="F48" s="9">
        <f t="shared" si="8"/>
        <v>0.1357477853</v>
      </c>
      <c r="G48" s="9">
        <f t="shared" si="12"/>
        <v>0.2873189563</v>
      </c>
      <c r="H48" s="9" t="str">
        <f t="shared" si="9"/>
        <v>19.8k (CR prev = 28.7%)</v>
      </c>
    </row>
    <row r="49">
      <c r="A49" s="12" t="s">
        <v>54</v>
      </c>
      <c r="B49" s="11">
        <v>11792.0</v>
      </c>
      <c r="C49" s="12">
        <f t="shared" si="10"/>
        <v>67026</v>
      </c>
      <c r="D49" s="12">
        <f t="shared" si="7"/>
        <v>11792</v>
      </c>
      <c r="E49" s="12">
        <f t="shared" si="11"/>
        <v>67026</v>
      </c>
      <c r="F49" s="9">
        <f t="shared" si="8"/>
        <v>0.08085351471</v>
      </c>
      <c r="G49" s="9">
        <f t="shared" si="12"/>
        <v>0.5956157188</v>
      </c>
      <c r="H49" s="9" t="str">
        <f t="shared" si="9"/>
        <v>11.8k (CR prev = 59.6%)</v>
      </c>
    </row>
    <row r="50">
      <c r="A50" s="12" t="s">
        <v>55</v>
      </c>
      <c r="B50" s="11">
        <v>8336.0</v>
      </c>
      <c r="C50" s="12">
        <f t="shared" si="10"/>
        <v>68754</v>
      </c>
      <c r="D50" s="12">
        <f t="shared" si="7"/>
        <v>8336</v>
      </c>
      <c r="E50" s="12">
        <f t="shared" si="11"/>
        <v>68754</v>
      </c>
      <c r="F50" s="9">
        <f t="shared" si="8"/>
        <v>0.05715696223</v>
      </c>
      <c r="G50" s="9">
        <f t="shared" si="12"/>
        <v>0.7069199457</v>
      </c>
      <c r="H50" s="9" t="str">
        <f t="shared" si="9"/>
        <v>8.3k (CR prev = 70.7%)</v>
      </c>
    </row>
    <row r="51">
      <c r="A51" s="11" t="s">
        <v>56</v>
      </c>
      <c r="B51" s="11">
        <v>4508.0</v>
      </c>
      <c r="C51" s="12">
        <f t="shared" si="10"/>
        <v>70668</v>
      </c>
      <c r="D51" s="12">
        <f t="shared" si="7"/>
        <v>4508</v>
      </c>
      <c r="E51" s="12">
        <f t="shared" si="11"/>
        <v>70668</v>
      </c>
      <c r="F51" s="9">
        <f t="shared" si="8"/>
        <v>0.03090973917</v>
      </c>
      <c r="G51" s="9">
        <f t="shared" si="12"/>
        <v>0.5407869482</v>
      </c>
      <c r="H51" s="9" t="str">
        <f t="shared" si="9"/>
        <v>4.5k (CR prev = 54.1%)</v>
      </c>
    </row>
    <row r="79">
      <c r="I79" s="1" t="s">
        <v>57</v>
      </c>
      <c r="M79" s="1" t="s">
        <v>58</v>
      </c>
    </row>
    <row r="80">
      <c r="A80" s="1" t="s">
        <v>59</v>
      </c>
      <c r="B80" s="1" t="s">
        <v>7</v>
      </c>
      <c r="C80" s="1" t="s">
        <v>53</v>
      </c>
      <c r="D80" s="1" t="s">
        <v>55</v>
      </c>
      <c r="E80" s="1" t="s">
        <v>60</v>
      </c>
      <c r="F80" s="1" t="s">
        <v>57</v>
      </c>
      <c r="G80" s="1" t="s">
        <v>58</v>
      </c>
      <c r="I80" s="1" t="s">
        <v>59</v>
      </c>
      <c r="J80" s="1" t="s">
        <v>7</v>
      </c>
      <c r="K80" s="1" t="s">
        <v>8</v>
      </c>
      <c r="M80" s="1" t="s">
        <v>59</v>
      </c>
      <c r="N80" s="1" t="s">
        <v>7</v>
      </c>
      <c r="O80" s="1" t="s">
        <v>8</v>
      </c>
    </row>
    <row r="81">
      <c r="A81" s="3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3">
        <v>40969.0</v>
      </c>
      <c r="J81" s="6">
        <f t="shared" ref="J81:J117" si="13">F81/100</f>
        <v>0.67112811</v>
      </c>
      <c r="K81" s="6">
        <f t="shared" ref="K81:K117" si="14">F121/100</f>
        <v>0.74545455</v>
      </c>
      <c r="M81" s="3">
        <v>40969.0</v>
      </c>
      <c r="N81" s="6">
        <f t="shared" ref="N81:N117" si="15">G81/100</f>
        <v>0.51923077</v>
      </c>
      <c r="O81" s="6">
        <f t="shared" ref="O81:O117" si="16">G121/100</f>
        <v>0.47368421</v>
      </c>
    </row>
    <row r="82">
      <c r="A82" s="3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3">
        <v>41000.0</v>
      </c>
      <c r="J82" s="6">
        <f t="shared" si="13"/>
        <v>0.67344961</v>
      </c>
      <c r="K82" s="6">
        <f t="shared" si="14"/>
        <v>0.75903614</v>
      </c>
      <c r="M82" s="3">
        <v>41000.0</v>
      </c>
      <c r="N82" s="6">
        <f t="shared" si="15"/>
        <v>0.57142857</v>
      </c>
      <c r="O82" s="6">
        <f t="shared" si="16"/>
        <v>0.58333333</v>
      </c>
    </row>
    <row r="83">
      <c r="A83" s="3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3">
        <v>41030.0</v>
      </c>
      <c r="J83" s="6">
        <f t="shared" si="13"/>
        <v>0.67883817</v>
      </c>
      <c r="K83" s="6">
        <f t="shared" si="14"/>
        <v>0.7651715</v>
      </c>
      <c r="M83" s="3">
        <v>41030.0</v>
      </c>
      <c r="N83" s="6">
        <f t="shared" si="15"/>
        <v>0.55963303</v>
      </c>
      <c r="O83" s="6">
        <f t="shared" si="16"/>
        <v>0.71428571</v>
      </c>
    </row>
    <row r="84">
      <c r="A84" s="3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3">
        <v>41061.0</v>
      </c>
      <c r="J84" s="6">
        <f t="shared" si="13"/>
        <v>0.66042966</v>
      </c>
      <c r="K84" s="6">
        <f t="shared" si="14"/>
        <v>0.77346278</v>
      </c>
      <c r="M84" s="3">
        <v>41061.0</v>
      </c>
      <c r="N84" s="6">
        <f t="shared" si="15"/>
        <v>0.54827586</v>
      </c>
      <c r="O84" s="6">
        <f t="shared" si="16"/>
        <v>0.70967742</v>
      </c>
    </row>
    <row r="85">
      <c r="A85" s="3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3">
        <v>41091.0</v>
      </c>
      <c r="J85" s="6">
        <f t="shared" si="13"/>
        <v>0.66873065</v>
      </c>
      <c r="K85" s="6">
        <f t="shared" si="14"/>
        <v>0.74689826</v>
      </c>
      <c r="M85" s="3">
        <v>41091.0</v>
      </c>
      <c r="N85" s="6">
        <f t="shared" si="15"/>
        <v>0.52681388</v>
      </c>
      <c r="O85" s="6">
        <f t="shared" si="16"/>
        <v>0.60416667</v>
      </c>
    </row>
    <row r="86">
      <c r="A86" s="3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3">
        <v>41122.0</v>
      </c>
      <c r="J86" s="6">
        <f t="shared" si="13"/>
        <v>0.65961773</v>
      </c>
      <c r="K86" s="6">
        <f t="shared" si="14"/>
        <v>0.77757685</v>
      </c>
      <c r="M86" s="3">
        <v>41122.0</v>
      </c>
      <c r="N86" s="6">
        <f t="shared" si="15"/>
        <v>0.54545455</v>
      </c>
      <c r="O86" s="6">
        <f t="shared" si="16"/>
        <v>0.7173913</v>
      </c>
    </row>
    <row r="87">
      <c r="A87" s="3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3">
        <v>41153.0</v>
      </c>
      <c r="J87" s="6">
        <f t="shared" si="13"/>
        <v>0.67057903</v>
      </c>
      <c r="K87" s="6">
        <f t="shared" si="14"/>
        <v>0.74912281</v>
      </c>
      <c r="M87" s="3">
        <v>41153.0</v>
      </c>
      <c r="N87" s="6">
        <f t="shared" si="15"/>
        <v>0.45738046</v>
      </c>
      <c r="O87" s="6">
        <f t="shared" si="16"/>
        <v>0.55172414</v>
      </c>
    </row>
    <row r="88">
      <c r="A88" s="4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4">
        <v>41183.0</v>
      </c>
      <c r="J88" s="6">
        <f t="shared" si="13"/>
        <v>0.67516697</v>
      </c>
      <c r="K88" s="6">
        <f t="shared" si="14"/>
        <v>0.74456522</v>
      </c>
      <c r="M88" s="4">
        <v>41183.0</v>
      </c>
      <c r="N88" s="6">
        <f t="shared" si="15"/>
        <v>0.42978003</v>
      </c>
      <c r="O88" s="6">
        <f t="shared" si="16"/>
        <v>0.64583333</v>
      </c>
    </row>
    <row r="89">
      <c r="A89" s="4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4">
        <v>41214.0</v>
      </c>
      <c r="J89" s="6">
        <f t="shared" si="13"/>
        <v>0.67504009</v>
      </c>
      <c r="K89" s="6">
        <f t="shared" si="14"/>
        <v>0.76548673</v>
      </c>
      <c r="M89" s="4">
        <v>41214.0</v>
      </c>
      <c r="N89" s="6">
        <f t="shared" si="15"/>
        <v>0.46886792</v>
      </c>
      <c r="O89" s="6">
        <f t="shared" si="16"/>
        <v>0.53781513</v>
      </c>
    </row>
    <row r="90">
      <c r="A90" s="4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4">
        <v>41244.0</v>
      </c>
      <c r="J90" s="6">
        <f t="shared" si="13"/>
        <v>0.66187576</v>
      </c>
      <c r="K90" s="6">
        <f t="shared" si="14"/>
        <v>0.76101322</v>
      </c>
      <c r="M90" s="4">
        <v>41244.0</v>
      </c>
      <c r="N90" s="6">
        <f t="shared" si="15"/>
        <v>0.4452381</v>
      </c>
      <c r="O90" s="6">
        <f t="shared" si="16"/>
        <v>0.6039604</v>
      </c>
    </row>
    <row r="91">
      <c r="A91" s="3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3">
        <v>41275.0</v>
      </c>
      <c r="J91" s="6">
        <f t="shared" si="13"/>
        <v>0.64773571</v>
      </c>
      <c r="K91" s="6">
        <f t="shared" si="14"/>
        <v>0.70991254</v>
      </c>
      <c r="M91" s="3">
        <v>41275.0</v>
      </c>
      <c r="N91" s="6">
        <f t="shared" si="15"/>
        <v>0.36531365</v>
      </c>
      <c r="O91" s="6">
        <f t="shared" si="16"/>
        <v>0.45882353</v>
      </c>
    </row>
    <row r="92">
      <c r="A92" s="3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3">
        <v>41306.0</v>
      </c>
      <c r="J92" s="6">
        <f t="shared" si="13"/>
        <v>0.61275008</v>
      </c>
      <c r="K92" s="6">
        <f t="shared" si="14"/>
        <v>0.7173913</v>
      </c>
      <c r="M92" s="3">
        <v>41306.0</v>
      </c>
      <c r="N92" s="6">
        <f t="shared" si="15"/>
        <v>0.35294118</v>
      </c>
      <c r="O92" s="6">
        <f t="shared" si="16"/>
        <v>0.4368932</v>
      </c>
    </row>
    <row r="93">
      <c r="A93" s="3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3">
        <v>41334.0</v>
      </c>
      <c r="J93" s="6">
        <f t="shared" si="13"/>
        <v>0.64788214</v>
      </c>
      <c r="K93" s="6">
        <f t="shared" si="14"/>
        <v>0.75457317</v>
      </c>
      <c r="M93" s="3">
        <v>41334.0</v>
      </c>
      <c r="N93" s="6">
        <f t="shared" si="15"/>
        <v>0.37857143</v>
      </c>
      <c r="O93" s="6">
        <f t="shared" si="16"/>
        <v>0.421875</v>
      </c>
    </row>
    <row r="94">
      <c r="A94" s="3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3">
        <v>41365.0</v>
      </c>
      <c r="J94" s="6">
        <f t="shared" si="13"/>
        <v>0.62962963</v>
      </c>
      <c r="K94" s="6">
        <f t="shared" si="14"/>
        <v>0.73575758</v>
      </c>
      <c r="M94" s="3">
        <v>41365.0</v>
      </c>
      <c r="N94" s="6">
        <f t="shared" si="15"/>
        <v>0.36616162</v>
      </c>
      <c r="O94" s="6">
        <f t="shared" si="16"/>
        <v>0.46875</v>
      </c>
    </row>
    <row r="95">
      <c r="A95" s="3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3">
        <v>41395.0</v>
      </c>
      <c r="J95" s="6">
        <f t="shared" si="13"/>
        <v>0.64071856</v>
      </c>
      <c r="K95" s="6">
        <f t="shared" si="14"/>
        <v>0.72953737</v>
      </c>
      <c r="M95" s="3">
        <v>41395.0</v>
      </c>
      <c r="N95" s="6">
        <f t="shared" si="15"/>
        <v>0.35368957</v>
      </c>
      <c r="O95" s="6">
        <f t="shared" si="16"/>
        <v>0.4</v>
      </c>
    </row>
    <row r="96">
      <c r="A96" s="3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3">
        <v>41426.0</v>
      </c>
      <c r="J96" s="6">
        <f t="shared" si="13"/>
        <v>0.62574365</v>
      </c>
      <c r="K96" s="6">
        <f t="shared" si="14"/>
        <v>0.74279379</v>
      </c>
      <c r="M96" s="3">
        <v>41426.0</v>
      </c>
      <c r="N96" s="6">
        <f t="shared" si="15"/>
        <v>0.33939394</v>
      </c>
      <c r="O96" s="6">
        <f t="shared" si="16"/>
        <v>0.48387097</v>
      </c>
    </row>
    <row r="97">
      <c r="A97" s="3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3">
        <v>41456.0</v>
      </c>
      <c r="J97" s="6">
        <f t="shared" si="13"/>
        <v>0.63664045</v>
      </c>
      <c r="K97" s="6">
        <f t="shared" si="14"/>
        <v>0.69230769</v>
      </c>
      <c r="M97" s="3">
        <v>41456.0</v>
      </c>
      <c r="N97" s="6">
        <f t="shared" si="15"/>
        <v>0.35</v>
      </c>
      <c r="O97" s="6">
        <f t="shared" si="16"/>
        <v>0.41666667</v>
      </c>
    </row>
    <row r="98">
      <c r="A98" s="3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3">
        <v>41487.0</v>
      </c>
      <c r="J98" s="6">
        <f t="shared" si="13"/>
        <v>0.63809276</v>
      </c>
      <c r="K98" s="6">
        <f t="shared" si="14"/>
        <v>0.71902017</v>
      </c>
      <c r="M98" s="3">
        <v>41487.0</v>
      </c>
      <c r="N98" s="6">
        <f t="shared" si="15"/>
        <v>0.35221675</v>
      </c>
      <c r="O98" s="6">
        <f t="shared" si="16"/>
        <v>0.46405229</v>
      </c>
    </row>
    <row r="99">
      <c r="A99" s="3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3">
        <v>41518.0</v>
      </c>
      <c r="J99" s="6">
        <f t="shared" si="13"/>
        <v>0.63749669</v>
      </c>
      <c r="K99" s="6">
        <f t="shared" si="14"/>
        <v>0.74262899</v>
      </c>
      <c r="M99" s="3">
        <v>41518.0</v>
      </c>
      <c r="N99" s="6">
        <f t="shared" si="15"/>
        <v>0.32993631</v>
      </c>
      <c r="O99" s="6">
        <f t="shared" si="16"/>
        <v>0.39766082</v>
      </c>
    </row>
    <row r="100">
      <c r="A100" s="4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4">
        <v>41548.0</v>
      </c>
      <c r="J100" s="6">
        <f t="shared" si="13"/>
        <v>0.63222458</v>
      </c>
      <c r="K100" s="6">
        <f t="shared" si="14"/>
        <v>0.72929405</v>
      </c>
      <c r="M100" s="4">
        <v>41548.0</v>
      </c>
      <c r="N100" s="6">
        <f t="shared" si="15"/>
        <v>0.36105263</v>
      </c>
      <c r="O100" s="6">
        <f t="shared" si="16"/>
        <v>0.47938144</v>
      </c>
    </row>
    <row r="101">
      <c r="A101" s="4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4">
        <v>41579.0</v>
      </c>
      <c r="J101" s="6">
        <f t="shared" si="13"/>
        <v>0.63669658</v>
      </c>
      <c r="K101" s="6">
        <f t="shared" si="14"/>
        <v>0.72824742</v>
      </c>
      <c r="M101" s="4">
        <v>41579.0</v>
      </c>
      <c r="N101" s="6">
        <f t="shared" si="15"/>
        <v>0.38012206</v>
      </c>
      <c r="O101" s="6">
        <f t="shared" si="16"/>
        <v>0.47916667</v>
      </c>
    </row>
    <row r="102">
      <c r="A102" s="4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4">
        <v>41609.0</v>
      </c>
      <c r="J102" s="6">
        <f t="shared" si="13"/>
        <v>0.62101129</v>
      </c>
      <c r="K102" s="6">
        <f t="shared" si="14"/>
        <v>0.69952364</v>
      </c>
      <c r="M102" s="4">
        <v>41609.0</v>
      </c>
      <c r="N102" s="6">
        <f t="shared" si="15"/>
        <v>0.36173393</v>
      </c>
      <c r="O102" s="6">
        <f t="shared" si="16"/>
        <v>0.46978022</v>
      </c>
    </row>
    <row r="103">
      <c r="A103" s="3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3">
        <v>41640.0</v>
      </c>
      <c r="J103" s="6">
        <f t="shared" si="13"/>
        <v>0.59494838</v>
      </c>
      <c r="K103" s="6">
        <f t="shared" si="14"/>
        <v>0.7079459</v>
      </c>
      <c r="M103" s="3">
        <v>41640.0</v>
      </c>
      <c r="N103" s="6">
        <f t="shared" si="15"/>
        <v>0.3559719</v>
      </c>
      <c r="O103" s="6">
        <f t="shared" si="16"/>
        <v>0.43727599</v>
      </c>
    </row>
    <row r="104">
      <c r="A104" s="3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3">
        <v>41671.0</v>
      </c>
      <c r="J104" s="6">
        <f t="shared" si="13"/>
        <v>0.58281077</v>
      </c>
      <c r="K104" s="6">
        <f t="shared" si="14"/>
        <v>0.7073651</v>
      </c>
      <c r="M104" s="3">
        <v>41671.0</v>
      </c>
      <c r="N104" s="6">
        <f t="shared" si="15"/>
        <v>0.34528449</v>
      </c>
      <c r="O104" s="6">
        <f t="shared" si="16"/>
        <v>0.44648318</v>
      </c>
    </row>
    <row r="105">
      <c r="A105" s="3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3">
        <v>41699.0</v>
      </c>
      <c r="J105" s="6">
        <f t="shared" si="13"/>
        <v>0.5931958</v>
      </c>
      <c r="K105" s="6">
        <f t="shared" si="14"/>
        <v>0.71168731</v>
      </c>
      <c r="M105" s="3">
        <v>41699.0</v>
      </c>
      <c r="N105" s="6">
        <f t="shared" si="15"/>
        <v>0.31450382</v>
      </c>
      <c r="O105" s="6">
        <f t="shared" si="16"/>
        <v>0.46835443</v>
      </c>
    </row>
    <row r="106">
      <c r="A106" s="3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3">
        <v>41730.0</v>
      </c>
      <c r="J106" s="6">
        <f t="shared" si="13"/>
        <v>0.59177309</v>
      </c>
      <c r="K106" s="6">
        <f t="shared" si="14"/>
        <v>0.69900332</v>
      </c>
      <c r="M106" s="3">
        <v>41730.0</v>
      </c>
      <c r="N106" s="6">
        <f t="shared" si="15"/>
        <v>0.3639201</v>
      </c>
      <c r="O106" s="6">
        <f t="shared" si="16"/>
        <v>0.408</v>
      </c>
    </row>
    <row r="107">
      <c r="A107" s="3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3">
        <v>41760.0</v>
      </c>
      <c r="J107" s="6">
        <f t="shared" si="13"/>
        <v>0.58623607</v>
      </c>
      <c r="K107" s="6">
        <f t="shared" si="14"/>
        <v>0.69914853</v>
      </c>
      <c r="M107" s="3">
        <v>41760.0</v>
      </c>
      <c r="N107" s="6">
        <f t="shared" si="15"/>
        <v>0.34164733</v>
      </c>
      <c r="O107" s="6">
        <f t="shared" si="16"/>
        <v>0.44258373</v>
      </c>
    </row>
    <row r="108">
      <c r="A108" s="3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3">
        <v>41791.0</v>
      </c>
      <c r="J108" s="6">
        <f t="shared" si="13"/>
        <v>0.6026282</v>
      </c>
      <c r="K108" s="6">
        <f t="shared" si="14"/>
        <v>0.71063123</v>
      </c>
      <c r="M108" s="3">
        <v>41791.0</v>
      </c>
      <c r="N108" s="6">
        <f t="shared" si="15"/>
        <v>0.35135135</v>
      </c>
      <c r="O108" s="6">
        <f t="shared" si="16"/>
        <v>0.43902439</v>
      </c>
    </row>
    <row r="109">
      <c r="A109" s="3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3">
        <v>41821.0</v>
      </c>
      <c r="J109" s="6">
        <f t="shared" si="13"/>
        <v>0.6102207</v>
      </c>
      <c r="K109" s="6">
        <f t="shared" si="14"/>
        <v>0.71007752</v>
      </c>
      <c r="M109" s="3">
        <v>41821.0</v>
      </c>
      <c r="N109" s="6">
        <f t="shared" si="15"/>
        <v>0.37280188</v>
      </c>
      <c r="O109" s="6">
        <f t="shared" si="16"/>
        <v>0.4270557</v>
      </c>
    </row>
    <row r="110">
      <c r="A110" s="3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3">
        <v>41852.0</v>
      </c>
      <c r="J110" s="6">
        <f t="shared" si="13"/>
        <v>0.5949551</v>
      </c>
      <c r="K110" s="6">
        <f t="shared" si="14"/>
        <v>0.71276596</v>
      </c>
      <c r="M110" s="3">
        <v>41852.0</v>
      </c>
      <c r="N110" s="6">
        <f t="shared" si="15"/>
        <v>0.356</v>
      </c>
      <c r="O110" s="6">
        <f t="shared" si="16"/>
        <v>0.48167539</v>
      </c>
    </row>
    <row r="111">
      <c r="A111" s="3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3">
        <v>41883.0</v>
      </c>
      <c r="J111" s="6">
        <f t="shared" si="13"/>
        <v>0.59944577</v>
      </c>
      <c r="K111" s="6">
        <f t="shared" si="14"/>
        <v>0.724365</v>
      </c>
      <c r="M111" s="3">
        <v>41883.0</v>
      </c>
      <c r="N111" s="6">
        <f t="shared" si="15"/>
        <v>0.34573894</v>
      </c>
      <c r="O111" s="6">
        <f t="shared" si="16"/>
        <v>0.41225627</v>
      </c>
    </row>
    <row r="112">
      <c r="A112" s="4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4">
        <v>41913.0</v>
      </c>
      <c r="J112" s="6">
        <f t="shared" si="13"/>
        <v>0.60130059</v>
      </c>
      <c r="K112" s="6">
        <f t="shared" si="14"/>
        <v>0.69836161</v>
      </c>
      <c r="M112" s="4">
        <v>41913.0</v>
      </c>
      <c r="N112" s="6">
        <f t="shared" si="15"/>
        <v>0.3581742</v>
      </c>
      <c r="O112" s="6">
        <f t="shared" si="16"/>
        <v>0.46153846</v>
      </c>
    </row>
    <row r="113">
      <c r="A113" s="4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4">
        <v>41944.0</v>
      </c>
      <c r="J113" s="6">
        <f t="shared" si="13"/>
        <v>0.59401353</v>
      </c>
      <c r="K113" s="6">
        <f t="shared" si="14"/>
        <v>0.71017639</v>
      </c>
      <c r="M113" s="4">
        <v>41944.0</v>
      </c>
      <c r="N113" s="6">
        <f t="shared" si="15"/>
        <v>0.32804642</v>
      </c>
      <c r="O113" s="6">
        <f t="shared" si="16"/>
        <v>0.44394619</v>
      </c>
    </row>
    <row r="114">
      <c r="A114" s="4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4">
        <v>41974.0</v>
      </c>
      <c r="J114" s="6">
        <f t="shared" si="13"/>
        <v>0.57932542</v>
      </c>
      <c r="K114" s="6">
        <f t="shared" si="14"/>
        <v>0.69720217</v>
      </c>
      <c r="M114" s="4">
        <v>41974.0</v>
      </c>
      <c r="N114" s="6">
        <f t="shared" si="15"/>
        <v>0.35569823</v>
      </c>
      <c r="O114" s="6">
        <f t="shared" si="16"/>
        <v>0.44684685</v>
      </c>
    </row>
    <row r="115">
      <c r="A115" s="3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3">
        <v>42005.0</v>
      </c>
      <c r="J115" s="6">
        <f t="shared" si="13"/>
        <v>0.58447368</v>
      </c>
      <c r="K115" s="6">
        <f t="shared" si="14"/>
        <v>0.69688237</v>
      </c>
      <c r="M115" s="3">
        <v>42005.0</v>
      </c>
      <c r="N115" s="6">
        <f t="shared" si="15"/>
        <v>0.3390991</v>
      </c>
      <c r="O115" s="6">
        <f t="shared" si="16"/>
        <v>0.44885177</v>
      </c>
    </row>
    <row r="116">
      <c r="A116" s="3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3">
        <v>42036.0</v>
      </c>
      <c r="J116" s="6">
        <f t="shared" si="13"/>
        <v>0.55478748</v>
      </c>
      <c r="K116" s="6">
        <f t="shared" si="14"/>
        <v>0.68756816</v>
      </c>
      <c r="M116" s="3">
        <v>42036.0</v>
      </c>
      <c r="N116" s="6">
        <f t="shared" si="15"/>
        <v>0.34485267</v>
      </c>
      <c r="O116" s="6">
        <f t="shared" si="16"/>
        <v>0.44834711</v>
      </c>
    </row>
    <row r="117">
      <c r="A117" s="3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3">
        <v>42064.0</v>
      </c>
      <c r="J117" s="6">
        <f t="shared" si="13"/>
        <v>0.57132266</v>
      </c>
      <c r="K117" s="6">
        <f t="shared" si="14"/>
        <v>0.69007902</v>
      </c>
      <c r="M117" s="3">
        <v>42064.0</v>
      </c>
      <c r="N117" s="6">
        <f t="shared" si="15"/>
        <v>0.33553818</v>
      </c>
      <c r="O117" s="6">
        <f t="shared" si="16"/>
        <v>0.47719298</v>
      </c>
    </row>
    <row r="120">
      <c r="A120" s="1" t="s">
        <v>59</v>
      </c>
      <c r="B120" s="1" t="s">
        <v>8</v>
      </c>
      <c r="C120" s="1" t="s">
        <v>53</v>
      </c>
      <c r="D120" s="1" t="s">
        <v>55</v>
      </c>
      <c r="E120" s="1" t="s">
        <v>60</v>
      </c>
      <c r="F120" s="1" t="s">
        <v>57</v>
      </c>
      <c r="G120" s="1" t="s">
        <v>58</v>
      </c>
    </row>
    <row r="121">
      <c r="A121" s="3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3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3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3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3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3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3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4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4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4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3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3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3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3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3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3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3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3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3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4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4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4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3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3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3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3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3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3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3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3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3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4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4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4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3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3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3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21</v>
      </c>
      <c r="C1" s="1" t="s">
        <v>22</v>
      </c>
      <c r="D1" s="1" t="s">
        <v>23</v>
      </c>
      <c r="E1" s="1" t="s">
        <v>24</v>
      </c>
    </row>
    <row r="2">
      <c r="B2" s="1" t="s">
        <v>25</v>
      </c>
      <c r="C2" s="2">
        <v>24601.0</v>
      </c>
      <c r="D2" s="2">
        <v>1250207.99</v>
      </c>
      <c r="E2" s="10">
        <v>50.819397</v>
      </c>
      <c r="H2" s="2"/>
    </row>
    <row r="3">
      <c r="B3" s="1" t="s">
        <v>26</v>
      </c>
      <c r="C3" s="2">
        <v>7712.0</v>
      </c>
      <c r="D3" s="2">
        <v>688301.76</v>
      </c>
      <c r="E3" s="10">
        <v>89.250747</v>
      </c>
    </row>
    <row r="34">
      <c r="B34" s="1" t="s">
        <v>27</v>
      </c>
      <c r="C34" s="1" t="s">
        <v>28</v>
      </c>
      <c r="D34" s="1" t="s">
        <v>29</v>
      </c>
      <c r="E34" s="1" t="s">
        <v>30</v>
      </c>
      <c r="F34" s="1" t="s">
        <v>31</v>
      </c>
      <c r="G34" s="1" t="s">
        <v>32</v>
      </c>
      <c r="H34" s="1" t="s">
        <v>33</v>
      </c>
      <c r="I34" s="1" t="s">
        <v>34</v>
      </c>
    </row>
    <row r="35">
      <c r="A35" s="1">
        <v>0.0</v>
      </c>
      <c r="B35" s="1" t="s">
        <v>13</v>
      </c>
      <c r="C35" s="1" t="s">
        <v>14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11</v>
      </c>
      <c r="C36" s="1" t="s">
        <v>14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12</v>
      </c>
      <c r="C37" s="1" t="s">
        <v>14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11</v>
      </c>
      <c r="C38" s="1" t="s">
        <v>13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12</v>
      </c>
      <c r="C39" s="1" t="s">
        <v>13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11</v>
      </c>
      <c r="C40" s="1" t="s">
        <v>12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